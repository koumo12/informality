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hamat Koumo\Desktop\cerdi\Bad\Informality\Model\"/>
    </mc:Choice>
  </mc:AlternateContent>
  <xr:revisionPtr revIDLastSave="0" documentId="13_ncr:1_{1D8624FF-F03F-4A1A-AE46-19B8691BD3E6}" xr6:coauthVersionLast="47" xr6:coauthVersionMax="47" xr10:uidLastSave="{00000000-0000-0000-0000-000000000000}"/>
  <bookViews>
    <workbookView xWindow="-110" yWindow="-110" windowWidth="19420" windowHeight="10300" xr2:uid="{00000000-000D-0000-FFFF-FFFF00000000}"/>
  </bookViews>
  <sheets>
    <sheet name="Modelresult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3" l="1"/>
  <c r="G12" i="3"/>
  <c r="G13" i="3"/>
  <c r="D13" i="3"/>
  <c r="G9" i="3"/>
  <c r="D8" i="3"/>
  <c r="D9" i="3"/>
  <c r="K2" i="3"/>
  <c r="D7" i="3" s="1"/>
  <c r="D12" i="3" l="1"/>
  <c r="D11" i="3"/>
  <c r="D10" i="3"/>
  <c r="G5" i="3"/>
  <c r="D6" i="3"/>
  <c r="G10" i="3"/>
  <c r="G7" i="3"/>
  <c r="D5" i="3"/>
  <c r="G8" i="3"/>
  <c r="G6" i="3"/>
</calcChain>
</file>

<file path=xl/sharedStrings.xml><?xml version="1.0" encoding="utf-8"?>
<sst xmlns="http://schemas.openxmlformats.org/spreadsheetml/2006/main" count="22" uniqueCount="19">
  <si>
    <t>estimate</t>
  </si>
  <si>
    <t>p.value</t>
  </si>
  <si>
    <t>Labor productivity (log)</t>
  </si>
  <si>
    <t>Regulatory Quality ( score : from -2.5 to 2.5 )</t>
  </si>
  <si>
    <t>Labor force with advanced education (% of LF)</t>
  </si>
  <si>
    <t>Self employment (%)</t>
  </si>
  <si>
    <t>Coefficients</t>
  </si>
  <si>
    <t>Corporate tax rate (%)</t>
  </si>
  <si>
    <t>Random Effects (GLS) Model</t>
  </si>
  <si>
    <t>Dependant variable :  Informal employment rate (Log-odds)</t>
  </si>
  <si>
    <t>AME</t>
  </si>
  <si>
    <t>Mean</t>
  </si>
  <si>
    <t>Mean(1-Mean)</t>
  </si>
  <si>
    <t>Country Fixed Effects (Within) Model</t>
  </si>
  <si>
    <t>Access to Internet (%)</t>
  </si>
  <si>
    <t>Broad money (%)</t>
  </si>
  <si>
    <t>Minimum wage (% of GDP per capita)</t>
  </si>
  <si>
    <t xml:space="preserve">Access to electricity (%) </t>
  </si>
  <si>
    <r>
      <rPr>
        <b/>
        <sz val="10"/>
        <color rgb="FF000000"/>
        <rFont val="Aptos"/>
        <family val="2"/>
      </rPr>
      <t>Note:</t>
    </r>
    <r>
      <rPr>
        <sz val="10"/>
        <color rgb="FF000000"/>
        <rFont val="Aptos"/>
        <family val="2"/>
      </rPr>
      <t xml:space="preserve">  : The table reports estimates from both fixed-effects (FE) and random-effects (RE) panel models. Since the dependent variable is the log-odds transformation of the informal employment rate, statistically significant coefficients from each model are converted into average marginal effects (AMEs) on the informal employment rate using AME = β × p̄(1−p̄), where p̄ = 0.378 is the sample mean of the informal employment rate. AMEs should be interpreted as the average change in the informal employment rate associated with a one-unit increase in the explanatory variable. For example, an AME of −0.0034 for Labor force with advanced education implies that a one percentage point increase in the share of the labor force with advanced education is associated with an average decrease of 0.34 percentage points in the informal employment rate, holding other factors constant. For variables entered in logarithmic form, the reported AME corresponds to the effect of a one log-point increase, equivalent to a 100% increase in the variable. For example, an AME of −0.1561 for labor productivity implies that a doubling of labor productivity is associated with an average decrease of 16 percentage points in the informal employment rate; for a more modest 10% increase in productivity, the corresponding effect is approximately 1.6 percentage points (obtained by multiplying the  AME by log(1.10)).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</si>
</sst>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00"/>
    <numFmt numFmtId="165" formatCode="0.0000000"/>
    <numFmt numFmtId="166" formatCode="0.0000"/>
  </numFmts>
  <fonts count="7" x14ac:knownFonts="1">
    <font>
      <sz val="11"/>
      <color rgb="FF000000"/>
      <name val="Calibri"/>
      <family val="2"/>
      <scheme val="minor"/>
    </font>
    <font>
      <sz val="11"/>
      <color rgb="FF000000"/>
      <name val="Aptos"/>
      <family val="2"/>
    </font>
    <font>
      <sz val="11"/>
      <color theme="1"/>
      <name val="Aptos"/>
      <family val="2"/>
    </font>
    <font>
      <b/>
      <sz val="10"/>
      <color rgb="FF000000"/>
      <name val="Aptos"/>
      <family val="2"/>
    </font>
    <font>
      <b/>
      <sz val="10"/>
      <color rgb="FF000000"/>
      <name val="Calibri"/>
      <family val="2"/>
      <scheme val="minor"/>
    </font>
    <font>
      <sz val="11"/>
      <color rgb="FF000000"/>
      <name val="Calibri"/>
      <family val="2"/>
      <scheme val="minor"/>
    </font>
    <font>
      <sz val="10"/>
      <color rgb="FF000000"/>
      <name val="Aptos"/>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22">
    <xf numFmtId="0" fontId="0" fillId="0" borderId="0" xfId="0"/>
    <xf numFmtId="0" fontId="0" fillId="2" borderId="0" xfId="0" applyFill="1"/>
    <xf numFmtId="0" fontId="1" fillId="2" borderId="0" xfId="0" applyFont="1" applyFill="1" applyAlignment="1">
      <alignment horizontal="left" vertical="center"/>
    </xf>
    <xf numFmtId="0" fontId="2" fillId="2" borderId="0" xfId="0" applyFont="1" applyFill="1" applyAlignment="1">
      <alignment horizontal="left" vertical="center"/>
    </xf>
    <xf numFmtId="0" fontId="1" fillId="2" borderId="0" xfId="0" applyFont="1" applyFill="1" applyAlignment="1">
      <alignment vertical="top" wrapText="1"/>
    </xf>
    <xf numFmtId="0" fontId="4" fillId="2" borderId="0" xfId="0" applyFont="1" applyFill="1" applyAlignment="1">
      <alignment horizontal="center"/>
    </xf>
    <xf numFmtId="0" fontId="6" fillId="2" borderId="2" xfId="0" applyFont="1" applyFill="1" applyBorder="1" applyAlignment="1">
      <alignment horizontal="left"/>
    </xf>
    <xf numFmtId="0" fontId="3" fillId="2" borderId="2" xfId="0" applyFont="1" applyFill="1" applyBorder="1" applyAlignment="1">
      <alignment horizontal="center"/>
    </xf>
    <xf numFmtId="0" fontId="3" fillId="2" borderId="1" xfId="0" applyFont="1" applyFill="1" applyBorder="1" applyAlignment="1">
      <alignment horizontal="center"/>
    </xf>
    <xf numFmtId="164" fontId="1" fillId="2" borderId="0" xfId="0" applyNumberFormat="1" applyFont="1" applyFill="1" applyAlignment="1">
      <alignment horizontal="right"/>
    </xf>
    <xf numFmtId="166" fontId="1" fillId="2" borderId="0" xfId="1" applyNumberFormat="1" applyFont="1" applyFill="1" applyBorder="1" applyAlignment="1">
      <alignment horizontal="center"/>
    </xf>
    <xf numFmtId="165" fontId="1" fillId="2" borderId="0" xfId="0" applyNumberFormat="1" applyFont="1" applyFill="1"/>
    <xf numFmtId="166" fontId="1" fillId="2" borderId="0" xfId="1" applyNumberFormat="1" applyFont="1" applyFill="1" applyAlignment="1">
      <alignment horizontal="center"/>
    </xf>
    <xf numFmtId="0" fontId="1" fillId="2" borderId="1" xfId="0" applyFont="1" applyFill="1" applyBorder="1"/>
    <xf numFmtId="164" fontId="1" fillId="2" borderId="1" xfId="0" applyNumberFormat="1" applyFont="1" applyFill="1" applyBorder="1" applyAlignment="1">
      <alignment horizontal="right"/>
    </xf>
    <xf numFmtId="166" fontId="1" fillId="2" borderId="1" xfId="1" applyNumberFormat="1" applyFont="1" applyFill="1" applyBorder="1" applyAlignment="1">
      <alignment horizontal="center"/>
    </xf>
    <xf numFmtId="165" fontId="1" fillId="2" borderId="1" xfId="0" applyNumberFormat="1" applyFont="1" applyFill="1" applyBorder="1"/>
    <xf numFmtId="0" fontId="1" fillId="2" borderId="0" xfId="0" applyFont="1" applyFill="1"/>
    <xf numFmtId="0" fontId="0" fillId="2" borderId="0" xfId="0" applyFill="1" applyAlignment="1">
      <alignment horizontal="left"/>
    </xf>
    <xf numFmtId="0" fontId="6" fillId="2" borderId="2" xfId="0" applyFont="1" applyFill="1" applyBorder="1" applyAlignment="1">
      <alignment horizontal="center"/>
    </xf>
    <xf numFmtId="0" fontId="6" fillId="2" borderId="2" xfId="0" applyFont="1" applyFill="1" applyBorder="1" applyAlignment="1">
      <alignment horizontal="center" vertical="center"/>
    </xf>
    <xf numFmtId="0" fontId="6" fillId="2" borderId="0" xfId="0" applyFont="1" applyFill="1" applyAlignment="1">
      <alignment horizontal="left" vertical="top" wrapText="1"/>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A4B9-9C05-4930-9052-0C2386DC771B}">
  <dimension ref="A1:M25"/>
  <sheetViews>
    <sheetView tabSelected="1" zoomScale="77" workbookViewId="0">
      <selection activeCell="A14" sqref="A14:G22"/>
    </sheetView>
  </sheetViews>
  <sheetFormatPr baseColWidth="10" defaultRowHeight="14.5" x14ac:dyDescent="0.35"/>
  <cols>
    <col min="1" max="1" width="50" style="1" bestFit="1" customWidth="1"/>
    <col min="2" max="2" width="12.453125" style="1" bestFit="1" customWidth="1"/>
    <col min="3" max="3" width="10.90625" style="1"/>
    <col min="4" max="4" width="12.54296875" style="1" bestFit="1" customWidth="1"/>
    <col min="5" max="9" width="10.90625" style="1"/>
    <col min="10" max="10" width="13.36328125" style="1" bestFit="1" customWidth="1"/>
    <col min="11" max="16384" width="10.90625" style="1"/>
  </cols>
  <sheetData>
    <row r="1" spans="1:13" x14ac:dyDescent="0.35">
      <c r="J1" s="1" t="s">
        <v>11</v>
      </c>
      <c r="K1" s="1">
        <v>0.3779535</v>
      </c>
    </row>
    <row r="2" spans="1:13" x14ac:dyDescent="0.35">
      <c r="A2" s="18"/>
      <c r="B2" s="18"/>
      <c r="C2" s="18"/>
      <c r="J2" s="1" t="s">
        <v>12</v>
      </c>
      <c r="K2" s="1">
        <f>K1*(1-K1)</f>
        <v>0.23510465183774998</v>
      </c>
    </row>
    <row r="3" spans="1:13" x14ac:dyDescent="0.35">
      <c r="A3" s="6" t="s">
        <v>9</v>
      </c>
      <c r="B3" s="20" t="s">
        <v>13</v>
      </c>
      <c r="C3" s="20"/>
      <c r="D3" s="20"/>
      <c r="E3" s="19" t="s">
        <v>8</v>
      </c>
      <c r="F3" s="19"/>
      <c r="G3" s="19"/>
    </row>
    <row r="4" spans="1:13" x14ac:dyDescent="0.35">
      <c r="A4" s="7" t="s">
        <v>6</v>
      </c>
      <c r="B4" s="7" t="s">
        <v>0</v>
      </c>
      <c r="C4" s="7" t="s">
        <v>1</v>
      </c>
      <c r="D4" s="7" t="s">
        <v>10</v>
      </c>
      <c r="E4" s="8" t="s">
        <v>0</v>
      </c>
      <c r="F4" s="8" t="s">
        <v>1</v>
      </c>
      <c r="G4" s="7" t="s">
        <v>10</v>
      </c>
      <c r="H4" s="5"/>
    </row>
    <row r="5" spans="1:13" x14ac:dyDescent="0.35">
      <c r="A5" s="2" t="s">
        <v>2</v>
      </c>
      <c r="B5" s="9">
        <v>-0.66375793138225203</v>
      </c>
      <c r="C5" s="9">
        <v>1.46828890209114E-3</v>
      </c>
      <c r="D5" s="10">
        <f>IF(C5&lt;=0.1,B5*$K$2,"-")</f>
        <v>-0.15605257736216951</v>
      </c>
      <c r="E5" s="11">
        <v>-0.51701886350829496</v>
      </c>
      <c r="F5" s="11">
        <v>1.3612932129938399E-4</v>
      </c>
      <c r="G5" s="12">
        <f>IF(F5&lt;=0.1,E5*$K$2,"-")</f>
        <v>-0.12155353989866687</v>
      </c>
    </row>
    <row r="6" spans="1:13" x14ac:dyDescent="0.35">
      <c r="A6" s="2" t="s">
        <v>3</v>
      </c>
      <c r="B6" s="9">
        <v>-1.2286742868425E-2</v>
      </c>
      <c r="C6" s="9">
        <v>0.89046319869602597</v>
      </c>
      <c r="D6" s="10" t="str">
        <f t="shared" ref="D6:D13" si="0">IF(C6&lt;=0.1,B6*$K$2,"-")</f>
        <v>-</v>
      </c>
      <c r="E6" s="11">
        <v>-4.1735601626895498E-2</v>
      </c>
      <c r="F6" s="11">
        <v>0.60916181172744899</v>
      </c>
      <c r="G6" s="12" t="str">
        <f t="shared" ref="G6:G13" si="1">IF(F6&lt;=0.1,E6*$K$2,"-")</f>
        <v>-</v>
      </c>
    </row>
    <row r="7" spans="1:13" x14ac:dyDescent="0.35">
      <c r="A7" s="3" t="s">
        <v>4</v>
      </c>
      <c r="B7" s="9">
        <v>-1.45654002130409E-2</v>
      </c>
      <c r="C7" s="9">
        <v>2.4442972625753601E-3</v>
      </c>
      <c r="D7" s="10">
        <f t="shared" si="0"/>
        <v>-3.4243933459644701E-3</v>
      </c>
      <c r="E7" s="11">
        <v>-1.5007784086938E-2</v>
      </c>
      <c r="F7" s="11">
        <v>7.1101644658984103E-4</v>
      </c>
      <c r="G7" s="12">
        <f t="shared" si="1"/>
        <v>-3.5283998526156831E-3</v>
      </c>
    </row>
    <row r="8" spans="1:13" x14ac:dyDescent="0.35">
      <c r="A8" s="3" t="s">
        <v>5</v>
      </c>
      <c r="B8" s="9">
        <v>1.1537813567741299E-2</v>
      </c>
      <c r="C8" s="9">
        <v>8.0860111786790201E-2</v>
      </c>
      <c r="D8" s="10">
        <f t="shared" si="0"/>
        <v>2.712593641812686E-3</v>
      </c>
      <c r="E8" s="11">
        <v>2.4283018164908701E-2</v>
      </c>
      <c r="F8" s="11">
        <v>2.5106721638933202E-7</v>
      </c>
      <c r="G8" s="12">
        <f t="shared" si="1"/>
        <v>5.7090505312306188E-3</v>
      </c>
    </row>
    <row r="9" spans="1:13" x14ac:dyDescent="0.35">
      <c r="A9" s="3" t="s">
        <v>15</v>
      </c>
      <c r="B9" s="9">
        <v>-2.7137807861164001E-3</v>
      </c>
      <c r="C9" s="9">
        <v>0.234523034730305</v>
      </c>
      <c r="D9" s="10" t="str">
        <f t="shared" si="0"/>
        <v>-</v>
      </c>
      <c r="E9" s="11">
        <v>-1.58693217372646E-3</v>
      </c>
      <c r="F9" s="11">
        <v>0.39694336962301402</v>
      </c>
      <c r="G9" s="12" t="str">
        <f t="shared" si="1"/>
        <v>-</v>
      </c>
    </row>
    <row r="10" spans="1:13" x14ac:dyDescent="0.35">
      <c r="A10" s="17" t="s">
        <v>7</v>
      </c>
      <c r="B10" s="9">
        <v>-1.2932491715395299E-2</v>
      </c>
      <c r="C10" s="9">
        <v>2.27879384759355E-2</v>
      </c>
      <c r="D10" s="10">
        <f t="shared" si="0"/>
        <v>-3.0404889621425978E-3</v>
      </c>
      <c r="E10" s="11">
        <v>-2.7378229495282598E-3</v>
      </c>
      <c r="F10" s="11">
        <v>0.60398019663158997</v>
      </c>
      <c r="G10" s="10" t="str">
        <f t="shared" si="1"/>
        <v>-</v>
      </c>
    </row>
    <row r="11" spans="1:13" x14ac:dyDescent="0.35">
      <c r="A11" s="17" t="s">
        <v>16</v>
      </c>
      <c r="B11" s="9">
        <v>3.09573614128183E-3</v>
      </c>
      <c r="C11" s="9">
        <v>3.4298750733936997E-2</v>
      </c>
      <c r="D11" s="10">
        <f t="shared" si="0"/>
        <v>7.2782196767760419E-4</v>
      </c>
      <c r="E11" s="11">
        <v>2.8799868411309901E-3</v>
      </c>
      <c r="F11" s="11">
        <v>2.9913471823319202E-2</v>
      </c>
      <c r="G11" s="10">
        <f t="shared" si="1"/>
        <v>6.7709830358140275E-4</v>
      </c>
    </row>
    <row r="12" spans="1:13" x14ac:dyDescent="0.35">
      <c r="A12" s="17" t="s">
        <v>17</v>
      </c>
      <c r="B12" s="9">
        <v>-6.0366458505662496E-3</v>
      </c>
      <c r="C12" s="9">
        <v>9.4003289961194697E-2</v>
      </c>
      <c r="D12" s="10">
        <f t="shared" si="0"/>
        <v>-1.4192435209651761E-3</v>
      </c>
      <c r="E12" s="11">
        <v>-6.30205790936849E-3</v>
      </c>
      <c r="F12" s="11">
        <v>4.4807018399154297E-2</v>
      </c>
      <c r="G12" s="10">
        <f t="shared" si="1"/>
        <v>-1.4816431306434175E-3</v>
      </c>
    </row>
    <row r="13" spans="1:13" x14ac:dyDescent="0.35">
      <c r="A13" s="13" t="s">
        <v>14</v>
      </c>
      <c r="B13" s="14">
        <v>-1.9415688671191799E-3</v>
      </c>
      <c r="C13" s="14">
        <v>0.13212158259356899</v>
      </c>
      <c r="D13" s="15" t="str">
        <f t="shared" si="0"/>
        <v>-</v>
      </c>
      <c r="E13" s="16">
        <v>-2.2673210278867902E-3</v>
      </c>
      <c r="F13" s="16">
        <v>4.6784878714417298E-2</v>
      </c>
      <c r="G13" s="15">
        <f t="shared" si="1"/>
        <v>-5.3305772086573318E-4</v>
      </c>
    </row>
    <row r="14" spans="1:13" ht="14.5" customHeight="1" x14ac:dyDescent="0.35">
      <c r="A14" s="21" t="s">
        <v>18</v>
      </c>
      <c r="B14" s="21"/>
      <c r="C14" s="21"/>
      <c r="D14" s="21"/>
      <c r="E14" s="21"/>
      <c r="F14" s="21"/>
      <c r="G14" s="21"/>
      <c r="H14" s="4"/>
      <c r="I14" s="4"/>
      <c r="J14" s="4"/>
      <c r="K14" s="4"/>
      <c r="L14" s="4"/>
      <c r="M14" s="4"/>
    </row>
    <row r="15" spans="1:13" x14ac:dyDescent="0.35">
      <c r="A15" s="21"/>
      <c r="B15" s="21"/>
      <c r="C15" s="21"/>
      <c r="D15" s="21"/>
      <c r="E15" s="21"/>
      <c r="F15" s="21"/>
      <c r="G15" s="21"/>
      <c r="H15" s="4"/>
      <c r="I15" s="4"/>
      <c r="J15" s="4"/>
      <c r="K15" s="4"/>
      <c r="L15" s="4"/>
      <c r="M15" s="4"/>
    </row>
    <row r="16" spans="1:13" x14ac:dyDescent="0.35">
      <c r="A16" s="21"/>
      <c r="B16" s="21"/>
      <c r="C16" s="21"/>
      <c r="D16" s="21"/>
      <c r="E16" s="21"/>
      <c r="F16" s="21"/>
      <c r="G16" s="21"/>
      <c r="H16" s="4"/>
      <c r="I16" s="4"/>
      <c r="J16" s="4"/>
      <c r="K16" s="4"/>
      <c r="L16" s="4"/>
      <c r="M16" s="4"/>
    </row>
    <row r="17" spans="1:13" x14ac:dyDescent="0.35">
      <c r="A17" s="21"/>
      <c r="B17" s="21"/>
      <c r="C17" s="21"/>
      <c r="D17" s="21"/>
      <c r="E17" s="21"/>
      <c r="F17" s="21"/>
      <c r="G17" s="21"/>
      <c r="H17" s="4"/>
      <c r="I17" s="4"/>
      <c r="J17" s="4"/>
      <c r="K17" s="4"/>
      <c r="L17" s="4"/>
      <c r="M17" s="4"/>
    </row>
    <row r="18" spans="1:13" x14ac:dyDescent="0.35">
      <c r="A18" s="21"/>
      <c r="B18" s="21"/>
      <c r="C18" s="21"/>
      <c r="D18" s="21"/>
      <c r="E18" s="21"/>
      <c r="F18" s="21"/>
      <c r="G18" s="21"/>
      <c r="H18" s="4"/>
      <c r="I18" s="4"/>
      <c r="J18" s="4"/>
      <c r="K18" s="4"/>
      <c r="L18" s="4"/>
      <c r="M18" s="4"/>
    </row>
    <row r="19" spans="1:13" x14ac:dyDescent="0.35">
      <c r="A19" s="21"/>
      <c r="B19" s="21"/>
      <c r="C19" s="21"/>
      <c r="D19" s="21"/>
      <c r="E19" s="21"/>
      <c r="F19" s="21"/>
      <c r="G19" s="21"/>
      <c r="H19" s="4"/>
      <c r="I19" s="4"/>
      <c r="J19" s="4"/>
      <c r="K19" s="4"/>
      <c r="L19" s="4"/>
      <c r="M19" s="4"/>
    </row>
    <row r="20" spans="1:13" x14ac:dyDescent="0.35">
      <c r="A20" s="21"/>
      <c r="B20" s="21"/>
      <c r="C20" s="21"/>
      <c r="D20" s="21"/>
      <c r="E20" s="21"/>
      <c r="F20" s="21"/>
      <c r="G20" s="21"/>
      <c r="H20" s="4"/>
      <c r="I20" s="4"/>
      <c r="J20" s="4"/>
      <c r="K20" s="4"/>
      <c r="L20" s="4"/>
      <c r="M20" s="4"/>
    </row>
    <row r="21" spans="1:13" x14ac:dyDescent="0.35">
      <c r="A21" s="21"/>
      <c r="B21" s="21"/>
      <c r="C21" s="21"/>
      <c r="D21" s="21"/>
      <c r="E21" s="21"/>
      <c r="F21" s="21"/>
      <c r="G21" s="21"/>
      <c r="H21" s="4"/>
      <c r="I21" s="4"/>
      <c r="J21" s="4"/>
      <c r="K21" s="4"/>
      <c r="L21" s="4"/>
      <c r="M21" s="4"/>
    </row>
    <row r="22" spans="1:13" x14ac:dyDescent="0.35">
      <c r="A22" s="21"/>
      <c r="B22" s="21"/>
      <c r="C22" s="21"/>
      <c r="D22" s="21"/>
      <c r="E22" s="21"/>
      <c r="F22" s="21"/>
      <c r="G22" s="21"/>
      <c r="H22" s="4"/>
      <c r="I22" s="4"/>
      <c r="J22" s="4"/>
      <c r="K22" s="4"/>
      <c r="L22" s="4"/>
      <c r="M22" s="4"/>
    </row>
    <row r="23" spans="1:13" x14ac:dyDescent="0.35">
      <c r="A23" s="4"/>
      <c r="B23" s="4"/>
      <c r="C23" s="4"/>
      <c r="D23" s="4"/>
      <c r="E23" s="4"/>
      <c r="F23" s="4"/>
      <c r="G23" s="4"/>
      <c r="H23" s="4"/>
      <c r="I23" s="4"/>
      <c r="J23" s="4"/>
      <c r="K23" s="4"/>
      <c r="L23" s="4"/>
      <c r="M23" s="4"/>
    </row>
    <row r="24" spans="1:13" x14ac:dyDescent="0.35">
      <c r="A24" s="4"/>
      <c r="B24" s="4"/>
      <c r="C24" s="4"/>
      <c r="D24" s="4"/>
      <c r="E24" s="4"/>
      <c r="F24" s="4"/>
      <c r="G24" s="4"/>
    </row>
    <row r="25" spans="1:13" x14ac:dyDescent="0.35">
      <c r="A25" s="4"/>
      <c r="B25" s="4"/>
      <c r="C25" s="4"/>
      <c r="D25" s="4"/>
      <c r="E25" s="4"/>
      <c r="F25" s="4"/>
      <c r="G25" s="4"/>
    </row>
  </sheetData>
  <mergeCells count="4">
    <mergeCell ref="A2:C2"/>
    <mergeCell ref="E3:G3"/>
    <mergeCell ref="B3:D3"/>
    <mergeCell ref="A14:G22"/>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Modelresults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Mahamat Koumo</dc:creator>
  <cp:lastModifiedBy>MAHAMAT, MOUSSA KOUMO</cp:lastModifiedBy>
  <dcterms:created xsi:type="dcterms:W3CDTF">2026-03-03T10:34:07Z</dcterms:created>
  <dcterms:modified xsi:type="dcterms:W3CDTF">2026-04-18T11:33:34Z</dcterms:modified>
</cp:coreProperties>
</file>